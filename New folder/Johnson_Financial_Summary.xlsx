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ummary" sheetId="1" state="visible" r:id="rId3"/>
    <sheet name="Income Analysis" sheetId="2" state="visible" r:id="rId4"/>
    <sheet name="Balance Chart" sheetId="3" state="visible" r:id="rId5"/>
    <sheet name="Production Inde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<sst xmlns="http://schemas.openxmlformats.org/spreadsheetml/2006/main" count="101" uniqueCount="75">
  <si>
    <t xml:space="preserve">WILLIAM R. JOHNSON — NAVY FEDERAL CREDIT UNION FINANCIAL SUMMARY</t>
  </si>
  <si>
    <t xml:space="preserve">Johnson v. Johnson, Case No. 2025CV936 — Camden County Superior Court</t>
  </si>
  <si>
    <t xml:space="preserve">Responsive to Plaintiff's First Request for Production of Documents, Request No. 3</t>
  </si>
  <si>
    <t xml:space="preserve">Statement Period</t>
  </si>
  <si>
    <t xml:space="preserve">Beginning Balance</t>
  </si>
  <si>
    <t xml:space="preserve">Total Deposits/Credits</t>
  </si>
  <si>
    <t xml:space="preserve">Total Withdrawals/Debits</t>
  </si>
  <si>
    <t xml:space="preserve">Ending Balance</t>
  </si>
  <si>
    <t xml:space="preserve">DFAS Salary Income</t>
  </si>
  <si>
    <t xml:space="preserve">TSP Withdrawal</t>
  </si>
  <si>
    <t xml:space="preserve">Other Income</t>
  </si>
  <si>
    <t xml:space="preserve">Overdraft Fees (Period)</t>
  </si>
  <si>
    <t xml:space="preserve">Overdraft Fees (YTD)</t>
  </si>
  <si>
    <t xml:space="preserve">Aug 2025 (07/17-08/16)</t>
  </si>
  <si>
    <t xml:space="preserve">Sep 2025 (08/17-09/16)</t>
  </si>
  <si>
    <t xml:space="preserve">Oct 2025 (09/17-10/16)</t>
  </si>
  <si>
    <t xml:space="preserve">Nov 2025 (10/17-11/16)</t>
  </si>
  <si>
    <t xml:space="preserve">Dec 2025 (11/17-12/16)</t>
  </si>
  <si>
    <t xml:space="preserve">Jan 2026 (12/17-01/16)</t>
  </si>
  <si>
    <t xml:space="preserve">Feb 2026 (01/17-02/16)</t>
  </si>
  <si>
    <t xml:space="preserve">Mar 2026 (02/17-03/16)</t>
  </si>
  <si>
    <t xml:space="preserve">TOTALS / FINAL</t>
  </si>
  <si>
    <t xml:space="preserve">KEY FINDINGS:</t>
  </si>
  <si>
    <t xml:space="preserve">Last DFAS salary deposit: October 22, 2025 ($2,815.36). Separation effective ~September 30, 2025.</t>
  </si>
  <si>
    <t xml:space="preserve">TSP hardship withdrawal received October 24, 2025: $49,396.60 (gross $70,793.85 per IRS records; $14,158.37 withheld; $7,079.39 penalty).</t>
  </si>
  <si>
    <t xml:space="preserve">Joe East Law payment: September 26, 2025 ($1,423.12) and October 17, 2025 ($1,455.57) — attorney fees from withdrawn counsel.</t>
  </si>
  <si>
    <t xml:space="preserve">J. Alan Welch PC payment: October 28, 2025 ($10,000.00) — attorney retainer from second counsel who also withdrew.</t>
  </si>
  <si>
    <t xml:space="preserve">Total overdraft fees Aug 2025 through Mar 2026: $500+ across all accounts.</t>
  </si>
  <si>
    <t xml:space="preserve">Ending balance March 16, 2026: $5.00 (savings only). All checking accounts at $0.00.</t>
  </si>
  <si>
    <t xml:space="preserve">Zero income from employment since October 2025. Only income sources: small eBay sales, Cash App transfers, Stripe micro-deposits.</t>
  </si>
  <si>
    <t xml:space="preserve">Recurring obligations continued post-separation: GEICO ($172.58/mo), Affirm loans, T-Mobile, utilities, children's expenses (school, Roblox, behavioral health).</t>
  </si>
  <si>
    <t xml:space="preserve">INCOME SOURCE ANALYSIS — COLLAPSE TIMELINE</t>
  </si>
  <si>
    <t xml:space="preserve">Month</t>
  </si>
  <si>
    <t xml:space="preserve">DFAS Salary</t>
  </si>
  <si>
    <t xml:space="preserve">eBay/Stripe/Other</t>
  </si>
  <si>
    <t xml:space="preserve">Total Income</t>
  </si>
  <si>
    <t xml:space="preserve">Monthly Change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</si>
  <si>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</si>
  <si>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</si>
  <si>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</si>
  <si>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</si>
  <si>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</si>
  <si>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</si>
  <si>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</si>
  <si>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</si>
  <si>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Total Ending Balance</t>
  </si>
  <si>
    <t xml:space="preserve">DOCUMENT PRODUCTION INDEX</t>
  </si>
  <si>
    <t xml:space="preserve">Johnson v. Johnson, Case No. 2025CV936 — Responsive to Request No. 3 (Bank Statements)</t>
  </si>
  <si>
    <t xml:space="preserve">Exhibit #</t>
  </si>
  <si>
    <t xml:space="preserve">Document Description</t>
  </si>
  <si>
    <t xml:space="preserve">Pages</t>
  </si>
  <si>
    <t xml:space="preserve">Account Numbers</t>
  </si>
  <si>
    <t xml:space="preserve">WRJ-001</t>
  </si>
  <si>
    <t xml:space="preserve">NFCU Monthly Statement</t>
  </si>
  <si>
    <t xml:space="preserve">07/17/25 - 08/16/25</t>
  </si>
  <si>
    <t xml:space="preserve">***1360, ***5344, ***1352, ***9978</t>
  </si>
  <si>
    <t xml:space="preserve">WRJ-002</t>
  </si>
  <si>
    <t xml:space="preserve">08/17/25 - 09/16/25</t>
  </si>
  <si>
    <t xml:space="preserve">WRJ-003</t>
  </si>
  <si>
    <t xml:space="preserve">09/17/25 - 10/16/25</t>
  </si>
  <si>
    <t xml:space="preserve">WRJ-004</t>
  </si>
  <si>
    <t xml:space="preserve">10/17/25 - 11/16/25</t>
  </si>
  <si>
    <t xml:space="preserve">WRJ-005</t>
  </si>
  <si>
    <t xml:space="preserve">11/17/25 - 12/16/25</t>
  </si>
  <si>
    <t xml:space="preserve">WRJ-006</t>
  </si>
  <si>
    <t xml:space="preserve">12/17/25 - 01/16/26</t>
  </si>
  <si>
    <t xml:space="preserve">WRJ-007</t>
  </si>
  <si>
    <t xml:space="preserve">01/17/26 - 02/16/26</t>
  </si>
  <si>
    <t xml:space="preserve">WRJ-008</t>
  </si>
  <si>
    <t xml:space="preserve">02/17/26 - 03/16/26</t>
  </si>
  <si>
    <t xml:space="preserve">Account Types:</t>
  </si>
  <si>
    <t xml:space="preserve">***1360 — EveryDay Checking (Joint Owner: NONE)</t>
  </si>
  <si>
    <t xml:space="preserve">***5344 — EveryDay Checking (Joint Owner: CHRISTYN E JOHNSON)</t>
  </si>
  <si>
    <t xml:space="preserve">***1352 — Active Duty Checking (Joint Owner: NONE)</t>
  </si>
  <si>
    <t xml:space="preserve">***9978 — Membership Savings (Joint Owner: NONE)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</si>
</sst>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8E8E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Financial Collapse: Ending Balance &amp; DFAS Income (Aug 2025 — Mar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'Balance Chart'!B1</c:f>
              <c:strCache>
                <c:ptCount val="1"/>
                <c:pt idx="0">
                  <c:v>Total Ending Balance</c:v>
                </c:pt>
              </c:strCache>
            </c:strRef>
          </c:tx>
          <c:spPr>
            <a:solidFill>
              <a:srgbClr val="2e405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Chart'!$A$2:$A$9</c:f>
              <c:strCache>
                <c:ptCount val="8"/>
                <c:pt idx="0">
                  <c:v>Aug 2025</c:v>
                </c:pt>
                <c:pt idx="1">
                  <c:v>Sep 2025</c:v>
                </c:pt>
                <c:pt idx="2">
                  <c:v>Oct 2025</c:v>
                </c:pt>
                <c:pt idx="3">
                  <c:v>Nov 2025</c:v>
                </c:pt>
                <c:pt idx="4">
                  <c:v>Dec 2025</c:v>
                </c:pt>
                <c:pt idx="5">
                  <c:v>Jan 2026</c:v>
                </c:pt>
                <c:pt idx="6">
                  <c:v>Feb 2026</c:v>
                </c:pt>
                <c:pt idx="7">
                  <c:v>Mar 2026</c:v>
                </c:pt>
              </c:strCache>
            </c:strRef>
          </c:cat>
          <c:val>
            <c:numRef>
              <c:f>'Balance Chart'!$B$2:$B$9</c:f>
              <c:numCache>
                <c:formatCode>General</c:formatCode>
                <c:ptCount val="8"/>
                <c:pt idx="0">
                  <c:v>1419.31</c:v>
                </c:pt>
                <c:pt idx="1">
                  <c:v>1157.3</c:v>
                </c:pt>
                <c:pt idx="2">
                  <c:v>1019.33</c:v>
                </c:pt>
                <c:pt idx="3">
                  <c:v>8128.66</c:v>
                </c:pt>
                <c:pt idx="4">
                  <c:v>11.79</c:v>
                </c:pt>
                <c:pt idx="5">
                  <c:v>-836.97</c:v>
                </c:pt>
                <c:pt idx="6">
                  <c:v>3355.31</c:v>
                </c:pt>
                <c:pt idx="7">
                  <c:v>5</c:v>
                </c:pt>
              </c:numCache>
            </c:numRef>
          </c:val>
        </c:ser>
        <c:ser>
          <c:idx val="1"/>
          <c:order val="1"/>
          <c:tx>
            <c:strRef>
              <c:f>'Balance Chart'!C1</c:f>
              <c:strCache>
                <c:ptCount val="1"/>
                <c:pt idx="0">
                  <c:v>DFAS Salary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Chart'!$A$2:$A$9</c:f>
              <c:strCache>
                <c:ptCount val="8"/>
                <c:pt idx="0">
                  <c:v>Aug 2025</c:v>
                </c:pt>
                <c:pt idx="1">
                  <c:v>Sep 2025</c:v>
                </c:pt>
                <c:pt idx="2">
                  <c:v>Oct 2025</c:v>
                </c:pt>
                <c:pt idx="3">
                  <c:v>Nov 2025</c:v>
                </c:pt>
                <c:pt idx="4">
                  <c:v>Dec 2025</c:v>
                </c:pt>
                <c:pt idx="5">
                  <c:v>Jan 2026</c:v>
                </c:pt>
                <c:pt idx="6">
                  <c:v>Feb 2026</c:v>
                </c:pt>
                <c:pt idx="7">
                  <c:v>Mar 2026</c:v>
                </c:pt>
              </c:strCache>
            </c:strRef>
          </c:cat>
          <c:val>
            <c:numRef>
              <c:f>'Balance Chart'!$C$2:$C$9</c:f>
              <c:numCache>
                <c:formatCode>General</c:formatCode>
                <c:ptCount val="8"/>
                <c:pt idx="0">
                  <c:v>4631.68</c:v>
                </c:pt>
                <c:pt idx="1">
                  <c:v>4631.67</c:v>
                </c:pt>
                <c:pt idx="2">
                  <c:v>2315.84</c:v>
                </c:pt>
                <c:pt idx="3">
                  <c:v>2815.36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3280344"/>
        <c:axId val="7448052"/>
      </c:barChart>
      <c:catAx>
        <c:axId val="73280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Statement 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8052"/>
        <c:crosses val="autoZero"/>
        <c:auto val="1"/>
        <c:lblAlgn val="ctr"/>
        <c:lblOffset val="100"/>
        <c:noMultiLvlLbl val="0"/>
      </c:catAx>
      <c:valAx>
        <c:axId val="7448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Dollars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80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12</xdr:col>
      <xdr:colOff>581400</xdr:colOff>
      <xdr:row>37</xdr:row>
      <xdr:rowOff>86760</xdr:rowOff>
    </xdr:to>
    <xdr:graphicFrame>
      <xdr:nvGraphicFramePr>
        <xdr:cNvPr id="0" name="Chart 1"/>
        <xdr:cNvGraphicFramePr/>
      </xdr:nvGraphicFramePr>
      <xdr:xfrm>
        <a:off x="0" y="20955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10" min="9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6" t="n">
        <v>2368.84</v>
      </c>
      <c r="C6" s="6" t="n">
        <v>11637.53</v>
      </c>
      <c r="D6" s="6" t="n">
        <v>12587.06</v>
      </c>
      <c r="E6" s="6" t="n">
        <v>1419.31</v>
      </c>
      <c r="F6" s="6" t="n">
        <v>4631.68</v>
      </c>
      <c r="G6" s="6" t="n">
        <v>0</v>
      </c>
      <c r="H6" s="6" t="n">
        <v>278.18</v>
      </c>
      <c r="I6" s="6" t="n">
        <v>80</v>
      </c>
      <c r="J6" s="6" t="n">
        <v>460</v>
      </c>
    </row>
    <row r="7" customFormat="false" ht="15" hidden="false" customHeight="false" outlineLevel="0" collapsed="false">
      <c r="A7" s="5" t="s">
        <v>14</v>
      </c>
      <c r="B7" s="6" t="n">
        <v>1419.31</v>
      </c>
      <c r="C7" s="6" t="n">
        <v>9570.69</v>
      </c>
      <c r="D7" s="6" t="n">
        <v>9832.7</v>
      </c>
      <c r="E7" s="6" t="n">
        <v>1157.3</v>
      </c>
      <c r="F7" s="6" t="n">
        <v>4631.67</v>
      </c>
      <c r="G7" s="6" t="n">
        <v>0</v>
      </c>
      <c r="H7" s="6" t="n">
        <v>0</v>
      </c>
      <c r="I7" s="6" t="n">
        <v>120</v>
      </c>
      <c r="J7" s="6" t="n">
        <v>580</v>
      </c>
    </row>
    <row r="8" customFormat="false" ht="15" hidden="false" customHeight="false" outlineLevel="0" collapsed="false">
      <c r="A8" s="5" t="s">
        <v>15</v>
      </c>
      <c r="B8" s="6" t="n">
        <v>1157.3</v>
      </c>
      <c r="C8" s="6" t="n">
        <v>4668.77</v>
      </c>
      <c r="D8" s="6" t="n">
        <v>4806.74</v>
      </c>
      <c r="E8" s="6" t="n">
        <v>1019.33</v>
      </c>
      <c r="F8" s="6" t="n">
        <v>2315.84</v>
      </c>
      <c r="G8" s="6" t="n">
        <v>0</v>
      </c>
      <c r="H8" s="6" t="n">
        <v>2.33</v>
      </c>
      <c r="I8" s="6" t="n">
        <v>100</v>
      </c>
      <c r="J8" s="6" t="n">
        <v>680</v>
      </c>
    </row>
    <row r="9" customFormat="false" ht="15" hidden="false" customHeight="false" outlineLevel="0" collapsed="false">
      <c r="A9" s="5" t="s">
        <v>16</v>
      </c>
      <c r="B9" s="6" t="n">
        <v>1019.33</v>
      </c>
      <c r="C9" s="6" t="n">
        <v>82541.6</v>
      </c>
      <c r="D9" s="6" t="n">
        <v>75432.27</v>
      </c>
      <c r="E9" s="6" t="n">
        <v>8128.66</v>
      </c>
      <c r="F9" s="6" t="n">
        <v>2815.36</v>
      </c>
      <c r="G9" s="6" t="n">
        <v>49396.6</v>
      </c>
      <c r="H9" s="6" t="n">
        <v>7.77</v>
      </c>
      <c r="I9" s="6" t="n">
        <v>0</v>
      </c>
      <c r="J9" s="6" t="n">
        <v>680</v>
      </c>
    </row>
    <row r="10" customFormat="false" ht="15" hidden="false" customHeight="false" outlineLevel="0" collapsed="false">
      <c r="A10" s="5" t="s">
        <v>17</v>
      </c>
      <c r="B10" s="6" t="n">
        <v>8128.66</v>
      </c>
      <c r="C10" s="6" t="n">
        <v>2624.3</v>
      </c>
      <c r="D10" s="6" t="n">
        <v>10741.17</v>
      </c>
      <c r="E10" s="6" t="n">
        <v>11.79</v>
      </c>
      <c r="F10" s="6" t="n">
        <v>0</v>
      </c>
      <c r="G10" s="6" t="n">
        <v>0</v>
      </c>
      <c r="H10" s="6" t="n">
        <v>46.58</v>
      </c>
      <c r="I10" s="6" t="n">
        <v>20</v>
      </c>
      <c r="J10" s="6" t="n">
        <v>700</v>
      </c>
    </row>
    <row r="11" customFormat="false" ht="15" hidden="false" customHeight="false" outlineLevel="0" collapsed="false">
      <c r="A11" s="5" t="s">
        <v>18</v>
      </c>
      <c r="B11" s="6" t="n">
        <v>11.79</v>
      </c>
      <c r="C11" s="6" t="n">
        <v>960.13</v>
      </c>
      <c r="D11" s="6" t="n">
        <v>1808.89</v>
      </c>
      <c r="E11" s="7" t="n">
        <v>-836.97</v>
      </c>
      <c r="F11" s="6" t="n">
        <v>0</v>
      </c>
      <c r="G11" s="6" t="n">
        <v>0</v>
      </c>
      <c r="H11" s="6" t="n">
        <v>316.09</v>
      </c>
      <c r="I11" s="6" t="n">
        <v>180</v>
      </c>
      <c r="J11" s="6" t="n">
        <v>180</v>
      </c>
    </row>
    <row r="12" customFormat="false" ht="15" hidden="false" customHeight="false" outlineLevel="0" collapsed="false">
      <c r="A12" s="5" t="s">
        <v>19</v>
      </c>
      <c r="B12" s="7" t="n">
        <v>-836.97</v>
      </c>
      <c r="C12" s="6" t="n">
        <v>9967.89</v>
      </c>
      <c r="D12" s="6" t="n">
        <v>5775.61</v>
      </c>
      <c r="E12" s="6" t="n">
        <v>3355.31</v>
      </c>
      <c r="F12" s="6" t="n">
        <v>0</v>
      </c>
      <c r="G12" s="6" t="n">
        <v>0</v>
      </c>
      <c r="H12" s="6" t="n">
        <v>5827.12</v>
      </c>
      <c r="I12" s="6" t="n">
        <v>0</v>
      </c>
      <c r="J12" s="6" t="n">
        <v>120</v>
      </c>
    </row>
    <row r="13" customFormat="false" ht="15" hidden="false" customHeight="false" outlineLevel="0" collapsed="false">
      <c r="A13" s="5" t="s">
        <v>20</v>
      </c>
      <c r="B13" s="6" t="n">
        <v>3355.31</v>
      </c>
      <c r="C13" s="6" t="n">
        <v>2.26</v>
      </c>
      <c r="D13" s="6" t="n">
        <v>3352.57</v>
      </c>
      <c r="E13" s="6" t="n">
        <v>5</v>
      </c>
      <c r="F13" s="6" t="n">
        <v>0</v>
      </c>
      <c r="G13" s="6" t="n">
        <v>0</v>
      </c>
      <c r="H13" s="6" t="n">
        <v>2.26</v>
      </c>
      <c r="I13" s="6" t="n">
        <v>0</v>
      </c>
      <c r="J13" s="6" t="n">
        <v>120</v>
      </c>
    </row>
    <row r="14" customFormat="false" ht="15" hidden="false" customHeight="false" outlineLevel="0" collapsed="false">
      <c r="A14" s="8" t="s">
        <v>21</v>
      </c>
      <c r="B14" s="9" t="n">
        <f aca="false">B6</f>
        <v>2368.84</v>
      </c>
      <c r="C14" s="9" t="n">
        <f aca="false">SUM(C6:C13)</f>
        <v>121973.17</v>
      </c>
      <c r="D14" s="9" t="n">
        <f aca="false">SUM(D6:D13)</f>
        <v>124337.01</v>
      </c>
      <c r="E14" s="9" t="n">
        <f aca="false">E13</f>
        <v>5</v>
      </c>
      <c r="F14" s="9" t="n">
        <f aca="false">SUM(F6:F13)</f>
        <v>14394.55</v>
      </c>
      <c r="G14" s="9" t="n">
        <f aca="false">SUM(G6:G13)</f>
        <v>49396.6</v>
      </c>
      <c r="H14" s="9" t="n">
        <f aca="false">SUM(H6:H13)</f>
        <v>6480.33</v>
      </c>
      <c r="I14" s="9" t="n">
        <f aca="false">SUM(I6:I13)</f>
        <v>500</v>
      </c>
      <c r="J14" s="9"/>
    </row>
    <row r="16" customFormat="false" ht="15" hidden="false" customHeight="false" outlineLevel="0" collapsed="false">
      <c r="A16" s="10" t="s">
        <v>22</v>
      </c>
    </row>
    <row r="17" customFormat="false" ht="15" hidden="false" customHeight="false" outlineLevel="0" collapsed="false">
      <c r="A17" s="11" t="s">
        <v>23</v>
      </c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5" hidden="false" customHeight="false" outlineLevel="0" collapsed="false">
      <c r="A18" s="11" t="s">
        <v>24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" hidden="false" customHeight="false" outlineLevel="0" collapsed="false">
      <c r="A20" s="11" t="s">
        <v>26</v>
      </c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" hidden="false" customHeight="false" outlineLevel="0" collapsed="false">
      <c r="A21" s="11" t="s">
        <v>27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" hidden="false" customHeight="false" outlineLevel="0" collapsed="false">
      <c r="A22" s="11" t="s">
        <v>28</v>
      </c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" hidden="false" customHeight="false" outlineLevel="0" collapsed="false">
      <c r="A23" s="11" t="s">
        <v>29</v>
      </c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" hidden="false" customHeight="false" outlineLevel="0" collapsed="false">
      <c r="A24" s="11" t="s">
        <v>30</v>
      </c>
      <c r="B24" s="11"/>
      <c r="C24" s="11"/>
      <c r="D24" s="11"/>
      <c r="E24" s="11"/>
      <c r="F24" s="11"/>
      <c r="G24" s="11"/>
      <c r="H24" s="11"/>
      <c r="I24" s="11"/>
      <c r="J24" s="11"/>
    </row>
  </sheetData>
  <mergeCells count="11">
    <mergeCell ref="A1:J1"/>
    <mergeCell ref="A2:J2"/>
    <mergeCell ref="A3:J3"/>
    <mergeCell ref="A17:J17"/>
    <mergeCell ref="A18:J18"/>
    <mergeCell ref="A19:J19"/>
    <mergeCell ref="A20:J20"/>
    <mergeCell ref="A21:J21"/>
    <mergeCell ref="A22:J22"/>
    <mergeCell ref="A23:J23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6" min="5" style="0" width="16"/>
  </cols>
  <sheetData>
    <row r="1" customFormat="false" ht="16.15" hidden="false" customHeight="false" outlineLevel="0" collapsed="false">
      <c r="A1" s="12" t="s">
        <v>31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13" t="s">
        <v>32</v>
      </c>
      <c r="B3" s="13" t="s">
        <v>33</v>
      </c>
      <c r="C3" s="13" t="s">
        <v>9</v>
      </c>
      <c r="D3" s="13" t="s">
        <v>34</v>
      </c>
      <c r="E3" s="13" t="s">
        <v>35</v>
      </c>
      <c r="F3" s="13" t="s">
        <v>36</v>
      </c>
    </row>
    <row r="4" customFormat="false" ht="15" hidden="false" customHeight="false" outlineLevel="0" collapsed="false">
      <c r="A4" s="5" t="s">
        <v>37</v>
      </c>
      <c r="B4" s="14" t="n">
        <v>4631.68</v>
      </c>
      <c r="C4" s="14" t="n">
        <v>0</v>
      </c>
      <c r="D4" s="14" t="n">
        <v>278.18</v>
      </c>
      <c r="E4" s="15" t="n">
        <f aca="false">SUM(B4:D4)</f>
        <v>4909.86</v>
      </c>
    </row>
    <row r="5" customFormat="false" ht="15" hidden="false" customHeight="false" outlineLevel="0" collapsed="false">
      <c r="A5" s="5" t="s">
        <v>38</v>
      </c>
      <c r="B5" s="14" t="n">
        <v>4631.67</v>
      </c>
      <c r="C5" s="14" t="n">
        <v>0</v>
      </c>
      <c r="D5" s="14" t="n">
        <v>0</v>
      </c>
      <c r="E5" s="15" t="n">
        <f aca="false">SUM(B5:D5)</f>
        <v>4631.67</v>
      </c>
      <c r="F5" s="16" t="n">
        <f aca="false">E5-E4</f>
        <v>-278.190000000001</v>
      </c>
    </row>
    <row r="6" customFormat="false" ht="15" hidden="false" customHeight="false" outlineLevel="0" collapsed="false">
      <c r="A6" s="5" t="s">
        <v>39</v>
      </c>
      <c r="B6" s="14" t="n">
        <v>2315.84</v>
      </c>
      <c r="C6" s="14" t="n">
        <v>0</v>
      </c>
      <c r="D6" s="14" t="n">
        <v>2.33</v>
      </c>
      <c r="E6" s="15" t="n">
        <f aca="false">SUM(B6:D6)</f>
        <v>2318.17</v>
      </c>
      <c r="F6" s="16" t="n">
        <f aca="false">E6-E5</f>
        <v>-2313.5</v>
      </c>
    </row>
    <row r="7" customFormat="false" ht="15" hidden="false" customHeight="false" outlineLevel="0" collapsed="false">
      <c r="A7" s="5" t="s">
        <v>40</v>
      </c>
      <c r="B7" s="14" t="n">
        <v>2815.36</v>
      </c>
      <c r="C7" s="14" t="n">
        <v>49396.6</v>
      </c>
      <c r="D7" s="14" t="n">
        <v>7.77</v>
      </c>
      <c r="E7" s="15" t="n">
        <f aca="false">SUM(B7:D7)</f>
        <v>52219.73</v>
      </c>
      <c r="F7" s="16" t="n">
        <f aca="false">E7-E6</f>
        <v>49901.56</v>
      </c>
    </row>
    <row r="8" customFormat="false" ht="15" hidden="false" customHeight="false" outlineLevel="0" collapsed="false">
      <c r="A8" s="5" t="s">
        <v>41</v>
      </c>
      <c r="B8" s="14" t="n">
        <v>0</v>
      </c>
      <c r="C8" s="14" t="n">
        <v>0</v>
      </c>
      <c r="D8" s="14" t="n">
        <v>46.58</v>
      </c>
      <c r="E8" s="15" t="n">
        <f aca="false">SUM(B8:D8)</f>
        <v>46.58</v>
      </c>
      <c r="F8" s="16" t="n">
        <f aca="false">E8-E7</f>
        <v>-52173.15</v>
      </c>
    </row>
    <row r="9" customFormat="false" ht="15" hidden="false" customHeight="false" outlineLevel="0" collapsed="false">
      <c r="A9" s="5" t="s">
        <v>42</v>
      </c>
      <c r="B9" s="14" t="n">
        <v>0</v>
      </c>
      <c r="C9" s="14" t="n">
        <v>0</v>
      </c>
      <c r="D9" s="14" t="n">
        <v>316.09</v>
      </c>
      <c r="E9" s="15" t="n">
        <f aca="false">SUM(B9:D9)</f>
        <v>316.09</v>
      </c>
      <c r="F9" s="16" t="n">
        <f aca="false">E9-E8</f>
        <v>269.51</v>
      </c>
    </row>
    <row r="10" customFormat="false" ht="15" hidden="false" customHeight="false" outlineLevel="0" collapsed="false">
      <c r="A10" s="5" t="s">
        <v>43</v>
      </c>
      <c r="B10" s="14" t="n">
        <v>0</v>
      </c>
      <c r="C10" s="14" t="n">
        <v>0</v>
      </c>
      <c r="D10" s="14" t="n">
        <v>5827.12</v>
      </c>
      <c r="E10" s="15" t="n">
        <f aca="false">SUM(B10:D10)</f>
        <v>5827.12</v>
      </c>
      <c r="F10" s="16" t="n">
        <f aca="false">E10-E9</f>
        <v>5511.03</v>
      </c>
    </row>
    <row r="11" customFormat="false" ht="15" hidden="false" customHeight="false" outlineLevel="0" collapsed="false">
      <c r="A11" s="5" t="s">
        <v>44</v>
      </c>
      <c r="B11" s="14" t="n">
        <v>0</v>
      </c>
      <c r="C11" s="14" t="n">
        <v>0</v>
      </c>
      <c r="D11" s="14" t="n">
        <v>2.26</v>
      </c>
      <c r="E11" s="15" t="n">
        <f aca="false">SUM(B11:D11)</f>
        <v>2.26</v>
      </c>
      <c r="F11" s="16" t="n">
        <f aca="false">E11-E10</f>
        <v>-5824.86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45</v>
      </c>
      <c r="C1" s="0" t="s">
        <v>33</v>
      </c>
    </row>
    <row r="2" customFormat="false" ht="15" hidden="false" customHeight="false" outlineLevel="0" collapsed="false">
      <c r="A2" s="0" t="s">
        <v>37</v>
      </c>
      <c r="B2" s="0" t="n">
        <v>1419.31</v>
      </c>
      <c r="C2" s="0" t="n">
        <v>4631.68</v>
      </c>
    </row>
    <row r="3" customFormat="false" ht="15" hidden="false" customHeight="false" outlineLevel="0" collapsed="false">
      <c r="A3" s="0" t="s">
        <v>38</v>
      </c>
      <c r="B3" s="0" t="n">
        <v>1157.3</v>
      </c>
      <c r="C3" s="0" t="n">
        <v>4631.67</v>
      </c>
    </row>
    <row r="4" customFormat="false" ht="15" hidden="false" customHeight="false" outlineLevel="0" collapsed="false">
      <c r="A4" s="0" t="s">
        <v>39</v>
      </c>
      <c r="B4" s="0" t="n">
        <v>1019.33</v>
      </c>
      <c r="C4" s="0" t="n">
        <v>2315.84</v>
      </c>
    </row>
    <row r="5" customFormat="false" ht="15" hidden="false" customHeight="false" outlineLevel="0" collapsed="false">
      <c r="A5" s="0" t="s">
        <v>40</v>
      </c>
      <c r="B5" s="0" t="n">
        <v>8128.66</v>
      </c>
      <c r="C5" s="0" t="n">
        <v>2815.36</v>
      </c>
    </row>
    <row r="6" customFormat="false" ht="15" hidden="false" customHeight="false" outlineLevel="0" collapsed="false">
      <c r="A6" s="0" t="s">
        <v>41</v>
      </c>
      <c r="B6" s="0" t="n">
        <v>11.79</v>
      </c>
      <c r="C6" s="0" t="n">
        <v>0</v>
      </c>
    </row>
    <row r="7" customFormat="false" ht="15" hidden="false" customHeight="false" outlineLevel="0" collapsed="false">
      <c r="A7" s="0" t="s">
        <v>42</v>
      </c>
      <c r="B7" s="0" t="n">
        <v>-836.97</v>
      </c>
      <c r="C7" s="0" t="n">
        <v>0</v>
      </c>
    </row>
    <row r="8" customFormat="false" ht="15" hidden="false" customHeight="false" outlineLevel="0" collapsed="false">
      <c r="A8" s="0" t="s">
        <v>43</v>
      </c>
      <c r="B8" s="0" t="n">
        <v>3355.31</v>
      </c>
      <c r="C8" s="0" t="n">
        <v>0</v>
      </c>
    </row>
    <row r="9" customFormat="false" ht="15" hidden="false" customHeight="false" outlineLevel="0" collapsed="false">
      <c r="A9" s="0" t="s">
        <v>44</v>
      </c>
      <c r="B9" s="0" t="n">
        <v>5</v>
      </c>
      <c r="C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2" t="s">
        <v>46</v>
      </c>
      <c r="B1" s="12"/>
      <c r="C1" s="12"/>
      <c r="D1" s="12"/>
      <c r="E1" s="12"/>
    </row>
    <row r="2" customFormat="false" ht="15" hidden="false" customHeight="false" outlineLevel="0" collapsed="false">
      <c r="A2" s="3" t="s">
        <v>47</v>
      </c>
      <c r="B2" s="3"/>
      <c r="C2" s="3"/>
      <c r="D2" s="3"/>
      <c r="E2" s="3"/>
    </row>
    <row r="4" customFormat="false" ht="15" hidden="false" customHeight="false" outlineLevel="0" collapsed="false">
      <c r="A4" s="13" t="s">
        <v>48</v>
      </c>
      <c r="B4" s="13" t="s">
        <v>49</v>
      </c>
      <c r="C4" s="13" t="s">
        <v>3</v>
      </c>
      <c r="D4" s="13" t="s">
        <v>50</v>
      </c>
      <c r="E4" s="13" t="s">
        <v>51</v>
      </c>
    </row>
    <row r="5" customFormat="false" ht="15" hidden="false" customHeight="false" outlineLevel="0" collapsed="false">
      <c r="A5" s="17" t="s">
        <v>52</v>
      </c>
      <c r="B5" s="17" t="s">
        <v>53</v>
      </c>
      <c r="C5" s="17" t="s">
        <v>54</v>
      </c>
      <c r="D5" s="17" t="n">
        <v>8</v>
      </c>
      <c r="E5" s="17" t="s">
        <v>55</v>
      </c>
    </row>
    <row r="6" customFormat="false" ht="15" hidden="false" customHeight="false" outlineLevel="0" collapsed="false">
      <c r="A6" s="17" t="s">
        <v>56</v>
      </c>
      <c r="B6" s="17" t="s">
        <v>53</v>
      </c>
      <c r="C6" s="17" t="s">
        <v>57</v>
      </c>
      <c r="D6" s="17" t="n">
        <v>7</v>
      </c>
      <c r="E6" s="17" t="s">
        <v>55</v>
      </c>
    </row>
    <row r="7" customFormat="false" ht="15" hidden="false" customHeight="false" outlineLevel="0" collapsed="false">
      <c r="A7" s="17" t="s">
        <v>58</v>
      </c>
      <c r="B7" s="17" t="s">
        <v>53</v>
      </c>
      <c r="C7" s="17" t="s">
        <v>59</v>
      </c>
      <c r="D7" s="17" t="n">
        <v>7</v>
      </c>
      <c r="E7" s="17" t="s">
        <v>55</v>
      </c>
    </row>
    <row r="8" customFormat="false" ht="15" hidden="false" customHeight="false" outlineLevel="0" collapsed="false">
      <c r="A8" s="17" t="s">
        <v>60</v>
      </c>
      <c r="B8" s="17" t="s">
        <v>53</v>
      </c>
      <c r="C8" s="17" t="s">
        <v>61</v>
      </c>
      <c r="D8" s="17" t="n">
        <v>8</v>
      </c>
      <c r="E8" s="17" t="s">
        <v>55</v>
      </c>
    </row>
    <row r="9" customFormat="false" ht="15" hidden="false" customHeight="false" outlineLevel="0" collapsed="false">
      <c r="A9" s="17" t="s">
        <v>62</v>
      </c>
      <c r="B9" s="17" t="s">
        <v>53</v>
      </c>
      <c r="C9" s="17" t="s">
        <v>63</v>
      </c>
      <c r="D9" s="17" t="n">
        <v>8</v>
      </c>
      <c r="E9" s="17" t="s">
        <v>55</v>
      </c>
    </row>
    <row r="10" customFormat="false" ht="15" hidden="false" customHeight="false" outlineLevel="0" collapsed="false">
      <c r="A10" s="17" t="s">
        <v>64</v>
      </c>
      <c r="B10" s="17" t="s">
        <v>53</v>
      </c>
      <c r="C10" s="17" t="s">
        <v>65</v>
      </c>
      <c r="D10" s="17" t="n">
        <v>5</v>
      </c>
      <c r="E10" s="17" t="s">
        <v>55</v>
      </c>
    </row>
    <row r="11" customFormat="false" ht="15" hidden="false" customHeight="false" outlineLevel="0" collapsed="false">
      <c r="A11" s="17" t="s">
        <v>66</v>
      </c>
      <c r="B11" s="17" t="s">
        <v>53</v>
      </c>
      <c r="C11" s="17" t="s">
        <v>67</v>
      </c>
      <c r="D11" s="17" t="n">
        <v>5</v>
      </c>
      <c r="E11" s="17" t="s">
        <v>55</v>
      </c>
    </row>
    <row r="12" customFormat="false" ht="15" hidden="false" customHeight="false" outlineLevel="0" collapsed="false">
      <c r="A12" s="17" t="s">
        <v>68</v>
      </c>
      <c r="B12" s="17" t="s">
        <v>53</v>
      </c>
      <c r="C12" s="17" t="s">
        <v>69</v>
      </c>
      <c r="D12" s="17" t="n">
        <v>5</v>
      </c>
      <c r="E12" s="17" t="s">
        <v>55</v>
      </c>
    </row>
    <row r="14" customFormat="false" ht="15" hidden="false" customHeight="false" outlineLevel="0" collapsed="false">
      <c r="A14" s="18" t="s">
        <v>70</v>
      </c>
    </row>
    <row r="15" customFormat="false" ht="15" hidden="false" customHeight="false" outlineLevel="0" collapsed="false">
      <c r="A15" s="19" t="s">
        <v>71</v>
      </c>
    </row>
    <row r="16" customFormat="false" ht="15" hidden="false" customHeight="false" outlineLevel="0" collapsed="false">
      <c r="A16" s="19" t="s">
        <v>72</v>
      </c>
    </row>
    <row r="17" customFormat="false" ht="15" hidden="false" customHeight="false" outlineLevel="0" collapsed="false">
      <c r="A17" s="19" t="s">
        <v>73</v>
      </c>
    </row>
    <row r="18" customFormat="false" ht="15" hidden="false" customHeight="false" outlineLevel="0" collapsed="false">
      <c r="A18" s="19" t="s">
        <v>74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2026-03-19T12:20:42Z</dcterms:created>
  <dc:creator>openpyxl</dc:creator>
  <dc:description/>
  <dc:language>en-US</dc:language>
  <cp:lastModifiedBy/>
  <dcterms:modified xsi:type="dcterms:W3CDTF">2026-03-19T12:20:56Z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